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saa\Downloads\"/>
    </mc:Choice>
  </mc:AlternateContent>
  <xr:revisionPtr revIDLastSave="0" documentId="13_ncr:1_{3449BDF6-E1C2-400B-9E00-7D4B7FF2336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ortfolio Allocation" sheetId="1" r:id="rId1"/>
    <sheet name="Category Summary" sheetId="2" r:id="rId2"/>
    <sheet name="Rationale &amp;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C7" i="2"/>
  <c r="C6" i="2"/>
  <c r="C5" i="2"/>
  <c r="C8" i="2" s="1"/>
  <c r="F16" i="1"/>
  <c r="E16" i="1"/>
  <c r="F15" i="1"/>
  <c r="G15" i="1" s="1"/>
  <c r="D15" i="1"/>
  <c r="F14" i="1"/>
  <c r="G14" i="1" s="1"/>
  <c r="D14" i="1"/>
  <c r="F13" i="1"/>
  <c r="D13" i="1"/>
  <c r="F12" i="1"/>
  <c r="G12" i="1" s="1"/>
  <c r="F11" i="1"/>
  <c r="G11" i="1" s="1"/>
  <c r="F10" i="1"/>
  <c r="F9" i="1"/>
  <c r="G9" i="1" s="1"/>
  <c r="F8" i="1"/>
  <c r="G8" i="1" s="1"/>
  <c r="D7" i="2" l="1"/>
  <c r="G13" i="1"/>
  <c r="D6" i="2"/>
  <c r="G10" i="1"/>
  <c r="D5" i="2"/>
  <c r="D8" i="2" l="1"/>
</calcChain>
</file>

<file path=xl/sharedStrings.xml><?xml version="1.0" encoding="utf-8"?>
<sst xmlns="http://schemas.openxmlformats.org/spreadsheetml/2006/main" count="54" uniqueCount="41">
  <si>
    <t>Allocation by Asset Class</t>
  </si>
  <si>
    <t>Hypothetical Investment Portfolio — Rs 1,00,000</t>
  </si>
  <si>
    <t>Asset Class</t>
  </si>
  <si>
    <t>CodeAlpha Finance &amp; Investment Analysis Internship — Task 3</t>
  </si>
  <si>
    <t>Investment Rationale</t>
  </si>
  <si>
    <t>Allocation (%)</t>
  </si>
  <si>
    <t>Amount (Rs)</t>
  </si>
  <si>
    <t>Rationale</t>
  </si>
  <si>
    <t>USD/INR Rate:</t>
  </si>
  <si>
    <t>Why this mix (40% Stocks / 35% ETFs / 25% Crypto)</t>
  </si>
  <si>
    <t>Stocks</t>
  </si>
  <si>
    <t>Stock selection logic</t>
  </si>
  <si>
    <t>ETF selection logic</t>
  </si>
  <si>
    <t>Nifty 50 BeES gives broad, low-cost Indian large-cap exposure (0.03% expense ratio). Nasdaq 100 ETF adds international/US tech diversification, reducing dependence on the Indian market alone. Gold BeES acts as a defensive hedge, historically less correlated with equities and crypto.</t>
  </si>
  <si>
    <t>Asset</t>
  </si>
  <si>
    <t>Crypto selection logic</t>
  </si>
  <si>
    <t>Price (Rs)</t>
  </si>
  <si>
    <t>Risk management</t>
  </si>
  <si>
    <t>Units (approx.)</t>
  </si>
  <si>
    <t>Disclaimer: This is a hypothetical portfolio prepared for educational purposes as part of the CodeAlpha internship and does not constitute investment advice. Verify current prices before making any real investment decisions.</t>
  </si>
  <si>
    <t>Direct equity exposure to high-conviction Indian large-caps across autos, pharma and telecom for capital growth and sector diversification.</t>
  </si>
  <si>
    <t>ETFs</t>
  </si>
  <si>
    <t>Low-cost, diversified core: broad Indian market (Nifty 50), US tech exposure (Nasdaq 100), and a gold hedge for stability.</t>
  </si>
  <si>
    <t>Crypto</t>
  </si>
  <si>
    <t>Small, high-conviction allocation to digital assets (BTC/ETH/SOL) for asymmetric growth potential, sized to limit downside.</t>
  </si>
  <si>
    <t>TOTAL</t>
  </si>
  <si>
    <t>Nippon India ETF Nifty 50 BeES (NIFTYBEES)</t>
  </si>
  <si>
    <t>Motilal Oswal Nasdaq 100 ETF (MON100)</t>
  </si>
  <si>
    <t>Nippon India ETF Gold BeES (GOLDBEES)</t>
  </si>
  <si>
    <t>Bitcoin (BTC)</t>
  </si>
  <si>
    <t>Ethereum (ETH)</t>
  </si>
  <si>
    <t>Solana (SOL)</t>
  </si>
  <si>
    <t xml:space="preserve">Note: Crypto amounts are converted to INR using the USD/INR rate in cell F3 (blue, editable). </t>
  </si>
  <si>
    <t>Data as of: October 13, 2026  |  USD/INR assumed: 88.50</t>
  </si>
  <si>
    <t>Microsoft Corporation (MSFT)</t>
  </si>
  <si>
    <t>Apple Inc. (AAPL)</t>
  </si>
  <si>
    <t>NVIDIA Corporation (NVDA)</t>
  </si>
  <si>
    <t xml:space="preserve">Microsoft, Apple, and NVIDIA represent three distinct, non-overlapping pillars of the global technology economy (enterprise cloud/software, consumer hardware/services, and AI semiconductor infrastructure). Each possesses strong individual growth drivers ranging from Azure AI monetization and record-breaking services revenue to dominant data center compute demand.   </t>
  </si>
  <si>
    <t>BTC/ETH/SOL are weighted 45/30/25 within the crypto sleeve (per Task 2), anchoring the high-beta portfolio in Bitcoin’s deeper institutional liquidity while maintaining strategic upside exposure to Ethereum’s smart-contract dominance and Solana’s high-throughput Layer-1 ecosystem.</t>
  </si>
  <si>
    <t>The allocation leads with direct equities (40%) to capture high-conviction growth from industry-leading tech mega-caps, uses ETFs (35%) as a low-cost, broad-market stabilizing core, and caps cryptocurrency at 25% to manage downside exposure given its higher volatility profile (see Task 2 analysis: 41-80% realized volatility vs. single-digit-to-teens for equities/ETFs).</t>
  </si>
  <si>
    <t>No single holding exceeds 15% of the total portfolio. The ETF and defensive asset sleeve provides an essential counterweight, dampening drawdowns from the higher-volatility stock and crypto holdings.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</si>
</sst>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#,##0.0000"/>
  </numFmts>
  <fonts count="18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7"/>
      <color rgb="FF1F3A5F"/>
      <name val="Times New Roman"/>
      <family val="1"/>
    </font>
    <font>
      <i/>
      <sz val="11"/>
      <color rgb="FF6B7280"/>
      <name val="Times New Roman"/>
      <family val="1"/>
    </font>
    <font>
      <b/>
      <sz val="10"/>
      <color rgb="FF6B7280"/>
      <name val="Times New Roman"/>
      <family val="1"/>
    </font>
    <font>
      <b/>
      <sz val="10"/>
      <color rgb="FF0000FF"/>
      <name val="Times New Roman"/>
      <family val="1"/>
    </font>
    <font>
      <sz val="10"/>
      <color rgb="FF6B7280"/>
      <name val="Times New Roman"/>
      <family val="1"/>
    </font>
    <font>
      <b/>
      <sz val="11"/>
      <color rgb="FFFFFFF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FF"/>
      <name val="Times New Roman"/>
      <family val="1"/>
    </font>
    <font>
      <b/>
      <sz val="11"/>
      <color rgb="FF0000FF"/>
      <name val="Times New Roman"/>
      <family val="1"/>
    </font>
    <font>
      <b/>
      <sz val="11"/>
      <color theme="1"/>
      <name val="Times New Roman"/>
      <family val="1"/>
    </font>
    <font>
      <sz val="11"/>
      <color rgb="FF222222"/>
      <name val="Times New Roman"/>
      <family val="1"/>
    </font>
    <font>
      <b/>
      <sz val="12"/>
      <color rgb="FF1F3A5F"/>
      <name val="Times New Roman"/>
      <family val="1"/>
    </font>
    <font>
      <i/>
      <sz val="9"/>
      <color rgb="FF6B7280"/>
      <name val="Times New Roman"/>
      <family val="1"/>
    </font>
    <font>
      <b/>
      <sz val="16"/>
      <color rgb="FF1F3A5F"/>
      <name val="Times New Roman"/>
      <family val="1"/>
    </font>
    <font>
      <sz val="10"/>
      <color rgb="FF2222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E7D6B"/>
        <bgColor rgb="FF2E7D6B"/>
      </patternFill>
    </fill>
    <fill>
      <patternFill patternType="solid">
        <fgColor rgb="FF1F3A5F"/>
        <bgColor rgb="FF1F3A5F"/>
      </patternFill>
    </fill>
  </fills>
  <borders count="2">
    <border>
      <left/>
      <right/>
      <top/>
      <bottom/>
      <diagonal/>
    </border>
    <border>
      <left style="thin">
        <color rgb="FFD9D5CB"/>
      </left>
      <right style="thin">
        <color rgb="FFD9D5CB"/>
      </right>
      <top style="thin">
        <color rgb="FFD9D5CB"/>
      </top>
      <bottom style="thin">
        <color rgb="FFD9D5C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4" fontId="10" fillId="0" borderId="1" xfId="0" applyNumberFormat="1" applyFont="1" applyBorder="1" applyAlignment="1">
      <alignment horizontal="center"/>
    </xf>
    <xf numFmtId="10" fontId="11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" fillId="0" borderId="1" xfId="0" applyFont="1" applyBorder="1"/>
    <xf numFmtId="10" fontId="12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1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9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9" fontId="12" fillId="0" borderId="1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 applyAlignment="1">
      <alignment wrapText="1"/>
    </xf>
    <xf numFmtId="0" fontId="1" fillId="0" borderId="0" xfId="0" applyFont="1"/>
    <xf numFmtId="0" fontId="1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Allocation</a:t>
            </a:r>
            <a:r>
              <a:rPr lang="id-ID" baseline="0"/>
              <a:t> by Individual Asset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'Portfolio Allocation'!$F$6</c:f>
              <c:strCache>
                <c:ptCount val="1"/>
                <c:pt idx="0">
                  <c:v>Amount (Rs)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'Portfolio Allocation'!$C$7:$C$15</c:f>
              <c:strCache>
                <c:ptCount val="9"/>
                <c:pt idx="0">
                  <c:v>Microsoft Corporation (MSFT)</c:v>
                </c:pt>
                <c:pt idx="1">
                  <c:v>Apple Inc. (AAPL)</c:v>
                </c:pt>
                <c:pt idx="2">
                  <c:v>NVIDIA Corporation (NVDA)</c:v>
                </c:pt>
                <c:pt idx="3">
                  <c:v>Nippon India ETF Nifty 50 BeES (NIFTYBEES)</c:v>
                </c:pt>
                <c:pt idx="4">
                  <c:v>Motilal Oswal Nasdaq 100 ETF (MON100)</c:v>
                </c:pt>
                <c:pt idx="5">
                  <c:v>Nippon India ETF Gold BeES (GOLDBEES)</c:v>
                </c:pt>
                <c:pt idx="6">
                  <c:v>Bitcoin (BTC)</c:v>
                </c:pt>
                <c:pt idx="7">
                  <c:v>Ethereum (ETH)</c:v>
                </c:pt>
                <c:pt idx="8">
                  <c:v>Solana (SOL)</c:v>
                </c:pt>
              </c:strCache>
            </c:strRef>
          </c:cat>
          <c:val>
            <c:numRef>
              <c:f>'Portfolio Allocation'!$F$7:$F$15</c:f>
              <c:numCache>
                <c:formatCode>\₹#,##0</c:formatCode>
                <c:ptCount val="9"/>
                <c:pt idx="0">
                  <c:v>15000</c:v>
                </c:pt>
                <c:pt idx="1">
                  <c:v>13000</c:v>
                </c:pt>
                <c:pt idx="2">
                  <c:v>12000</c:v>
                </c:pt>
                <c:pt idx="3">
                  <c:v>15000</c:v>
                </c:pt>
                <c:pt idx="4">
                  <c:v>12000</c:v>
                </c:pt>
                <c:pt idx="5">
                  <c:v>8000</c:v>
                </c:pt>
                <c:pt idx="6">
                  <c:v>11250</c:v>
                </c:pt>
                <c:pt idx="7">
                  <c:v>7500</c:v>
                </c:pt>
                <c:pt idx="8">
                  <c:v>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BB-4745-AE4C-95B189D71A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105514351"/>
        <c:axId val="21004699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'Portfolio Allocation'!$D$6</c15:sqref>
                        </c15:formulaRef>
                      </c:ext>
                    </c:extLst>
                    <c:strCache>
                      <c:ptCount val="1"/>
                      <c:pt idx="0">
                        <c:v>Price (Rs)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d-ID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'Portfolio Allocation'!$C$7:$C$15</c15:sqref>
                        </c15:formulaRef>
                      </c:ext>
                    </c:extLst>
                    <c:strCache>
                      <c:ptCount val="9"/>
                      <c:pt idx="0">
                        <c:v>Microsoft Corporation (MSFT)</c:v>
                      </c:pt>
                      <c:pt idx="1">
                        <c:v>Apple Inc. (AAPL)</c:v>
                      </c:pt>
                      <c:pt idx="2">
                        <c:v>NVIDIA Corporation (NVDA)</c:v>
                      </c:pt>
                      <c:pt idx="3">
                        <c:v>Nippon India ETF Nifty 50 BeES (NIFTYBEES)</c:v>
                      </c:pt>
                      <c:pt idx="4">
                        <c:v>Motilal Oswal Nasdaq 100 ETF (MON100)</c:v>
                      </c:pt>
                      <c:pt idx="5">
                        <c:v>Nippon India ETF Gold BeES (GOLDBEES)</c:v>
                      </c:pt>
                      <c:pt idx="6">
                        <c:v>Bitcoin (BTC)</c:v>
                      </c:pt>
                      <c:pt idx="7">
                        <c:v>Ethereum (ETH)</c:v>
                      </c:pt>
                      <c:pt idx="8">
                        <c:v>Solana (SOL)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'Portfolio Allocation'!$D$7:$D$15</c15:sqref>
                        </c15:formulaRef>
                      </c:ext>
                    </c:extLst>
                    <c:numCache>
                      <c:formatCode>#,##0.00</c:formatCode>
                      <c:ptCount val="9"/>
                      <c:pt idx="0">
                        <c:v>46055.4</c:v>
                      </c:pt>
                      <c:pt idx="1">
                        <c:v>29531.57</c:v>
                      </c:pt>
                      <c:pt idx="2">
                        <c:v>20397.48</c:v>
                      </c:pt>
                      <c:pt idx="3">
                        <c:v>268.81</c:v>
                      </c:pt>
                      <c:pt idx="4">
                        <c:v>332.8</c:v>
                      </c:pt>
                      <c:pt idx="5">
                        <c:v>125.84</c:v>
                      </c:pt>
                      <c:pt idx="6">
                        <c:v>7053450</c:v>
                      </c:pt>
                      <c:pt idx="7">
                        <c:v>221250</c:v>
                      </c:pt>
                      <c:pt idx="8">
                        <c:v>9204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BB-4745-AE4C-95B189D71A7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'Portfolio Allocation'!$E$6</c15:sqref>
                        </c15:formulaRef>
                      </c:ext>
                    </c:extLst>
                    <c:strCache>
                      <c:ptCount val="1"/>
                      <c:pt idx="0">
                        <c:v>Allocation (%)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d-ID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'Portfolio Allocation'!$C$7:$C$15</c15:sqref>
                        </c15:formulaRef>
                      </c:ext>
                    </c:extLst>
                    <c:strCache>
                      <c:ptCount val="9"/>
                      <c:pt idx="0">
                        <c:v>Microsoft Corporation (MSFT)</c:v>
                      </c:pt>
                      <c:pt idx="1">
                        <c:v>Apple Inc. (AAPL)</c:v>
                      </c:pt>
                      <c:pt idx="2">
                        <c:v>NVIDIA Corporation (NVDA)</c:v>
                      </c:pt>
                      <c:pt idx="3">
                        <c:v>Nippon India ETF Nifty 50 BeES (NIFTYBEES)</c:v>
                      </c:pt>
                      <c:pt idx="4">
                        <c:v>Motilal Oswal Nasdaq 100 ETF (MON100)</c:v>
                      </c:pt>
                      <c:pt idx="5">
                        <c:v>Nippon India ETF Gold BeES (GOLDBEES)</c:v>
                      </c:pt>
                      <c:pt idx="6">
                        <c:v>Bitcoin (BTC)</c:v>
                      </c:pt>
                      <c:pt idx="7">
                        <c:v>Ethereum (ETH)</c:v>
                      </c:pt>
                      <c:pt idx="8">
                        <c:v>Solana (SOL)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'Portfolio Allocation'!$E$7:$E$15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0.15</c:v>
                      </c:pt>
                      <c:pt idx="1">
                        <c:v>0.13</c:v>
                      </c:pt>
                      <c:pt idx="2">
                        <c:v>0.12</c:v>
                      </c:pt>
                      <c:pt idx="3">
                        <c:v>0.15</c:v>
                      </c:pt>
                      <c:pt idx="4">
                        <c:v>0.12</c:v>
                      </c:pt>
                      <c:pt idx="5">
                        <c:v>0.08</c:v>
                      </c:pt>
                      <c:pt idx="6">
                        <c:v>0.1125</c:v>
                      </c:pt>
                      <c:pt idx="7">
                        <c:v>7.4999999999999997E-2</c:v>
                      </c:pt>
                      <c:pt idx="8">
                        <c:v>6.25E-2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DBB-4745-AE4C-95B189D71A74}"/>
                  </c:ext>
                </c:extLst>
              </c15:ser>
            </c15:filteredBarSeries>
          </c:ext>
        </c:extLst>
      </c:barChart>
      <c:catAx>
        <c:axId val="210551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00469935"/>
        <c:crosses val="autoZero"/>
        <c:auto val="1"/>
        <c:lblAlgn val="ctr"/>
        <c:lblOffset val="100"/>
        <c:noMultiLvlLbl val="0"/>
      </c:catAx>
      <c:valAx>
        <c:axId val="2100469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Amount</a:t>
                </a:r>
                <a:r>
                  <a:rPr lang="id-ID" baseline="0"/>
                  <a:t> (Rs)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0551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000">
                <a:latin typeface="Times New Roman" panose="02020603050405020304" pitchFamily="18" charset="0"/>
                <a:cs typeface="Times New Roman" panose="02020603050405020304" pitchFamily="18" charset="0"/>
              </a:rPr>
              <a:t>portofolio</a:t>
            </a:r>
            <a:r>
              <a:rPr lang="id-ID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allocation by asset class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'Category Summary'!$C$4</c:f>
              <c:strCache>
                <c:ptCount val="1"/>
                <c:pt idx="0">
                  <c:v>Allocation (%)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E2-428F-BAF0-DA0636B32D8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6E2-428F-BAF0-DA0636B32D80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6E2-428F-BAF0-DA0636B32D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Summary'!$B$5:$B$7</c:f>
              <c:strCache>
                <c:ptCount val="3"/>
                <c:pt idx="0">
                  <c:v>Stocks</c:v>
                </c:pt>
                <c:pt idx="1">
                  <c:v>ETFs</c:v>
                </c:pt>
                <c:pt idx="2">
                  <c:v>Crypto</c:v>
                </c:pt>
              </c:strCache>
            </c:strRef>
          </c:cat>
          <c:val>
            <c:numRef>
              <c:f>'Category Summary'!$C$5:$C$7</c:f>
              <c:numCache>
                <c:formatCode>0%</c:formatCode>
                <c:ptCount val="3"/>
                <c:pt idx="0">
                  <c:v>0.4</c:v>
                </c:pt>
                <c:pt idx="1">
                  <c:v>0.35000000000000003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9-496F-92EE-CE9BE699F39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19</xdr:row>
      <xdr:rowOff>121920</xdr:rowOff>
    </xdr:from>
    <xdr:to>
      <xdr:col>4</xdr:col>
      <xdr:colOff>335280</xdr:colOff>
      <xdr:row>33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01D93-E7D7-0EBE-4F09-620CC2F20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72390</xdr:rowOff>
    </xdr:from>
    <xdr:to>
      <xdr:col>4</xdr:col>
      <xdr:colOff>1417320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5E70A-403D-44C4-CB9B-2DE778F9C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0"/>
  <sheetViews>
    <sheetView showGridLines="0" zoomScale="75" zoomScaleNormal="75" workbookViewId="0">
      <selection activeCell="D17" sqref="D17"/>
    </sheetView>
  </sheetViews>
  <sheetFormatPr defaultColWidth="14.44140625" defaultRowHeight="15" customHeight="1" x14ac:dyDescent="0.3"/>
  <cols>
    <col min="1" max="1" width="3" customWidth="1"/>
    <col min="2" max="2" width="12" customWidth="1"/>
    <col min="3" max="3" width="38" customWidth="1"/>
    <col min="4" max="4" width="12" customWidth="1"/>
    <col min="5" max="6" width="14" customWidth="1"/>
    <col min="7" max="7" width="16" customWidth="1"/>
    <col min="8" max="26" width="8.6640625" customWidth="1"/>
  </cols>
  <sheetData>
    <row r="1" spans="1:8" ht="15" customHeight="1" x14ac:dyDescent="0.3">
      <c r="A1" s="1"/>
      <c r="B1" s="1"/>
      <c r="C1" s="1"/>
      <c r="D1" s="1"/>
      <c r="E1" s="1"/>
      <c r="F1" s="1"/>
      <c r="G1" s="1"/>
      <c r="H1" s="1"/>
    </row>
    <row r="2" spans="1:8" ht="21" x14ac:dyDescent="0.35">
      <c r="A2" s="1"/>
      <c r="B2" s="2" t="s">
        <v>1</v>
      </c>
      <c r="C2" s="1"/>
      <c r="D2" s="1"/>
      <c r="E2" s="1"/>
      <c r="F2" s="1"/>
      <c r="G2" s="1"/>
      <c r="H2" s="1"/>
    </row>
    <row r="3" spans="1:8" ht="14.4" x14ac:dyDescent="0.3">
      <c r="A3" s="1"/>
      <c r="B3" s="3" t="s">
        <v>3</v>
      </c>
      <c r="C3" s="1"/>
      <c r="D3" s="1"/>
      <c r="E3" s="4" t="s">
        <v>8</v>
      </c>
      <c r="F3" s="5">
        <v>88.5</v>
      </c>
      <c r="G3" s="1"/>
      <c r="H3" s="1"/>
    </row>
    <row r="4" spans="1:8" ht="14.4" x14ac:dyDescent="0.3">
      <c r="A4" s="1"/>
      <c r="B4" s="6" t="s">
        <v>33</v>
      </c>
      <c r="C4" s="1"/>
      <c r="D4" s="1"/>
      <c r="E4" s="1"/>
      <c r="F4" s="1"/>
      <c r="G4" s="1"/>
      <c r="H4" s="1"/>
    </row>
    <row r="5" spans="1:8" ht="15" customHeight="1" x14ac:dyDescent="0.3">
      <c r="A5" s="1"/>
      <c r="B5" s="1"/>
      <c r="C5" s="1"/>
      <c r="D5" s="1"/>
      <c r="E5" s="1"/>
      <c r="F5" s="1"/>
      <c r="G5" s="1"/>
      <c r="H5" s="1"/>
    </row>
    <row r="6" spans="1:8" ht="14.4" x14ac:dyDescent="0.3">
      <c r="A6" s="1"/>
      <c r="B6" s="7" t="s">
        <v>2</v>
      </c>
      <c r="C6" s="7" t="s">
        <v>14</v>
      </c>
      <c r="D6" s="7" t="s">
        <v>16</v>
      </c>
      <c r="E6" s="7" t="s">
        <v>5</v>
      </c>
      <c r="F6" s="7" t="s">
        <v>6</v>
      </c>
      <c r="G6" s="7" t="s">
        <v>18</v>
      </c>
      <c r="H6" s="1"/>
    </row>
    <row r="7" spans="1:8" ht="15.75" customHeight="1" x14ac:dyDescent="0.3">
      <c r="A7" s="1"/>
      <c r="B7" s="8" t="s">
        <v>10</v>
      </c>
      <c r="C7" s="9" t="s">
        <v>34</v>
      </c>
      <c r="D7" s="10">
        <v>46055.4</v>
      </c>
      <c r="E7" s="11">
        <v>0.15</v>
      </c>
      <c r="F7" s="12">
        <f>100000*E7</f>
        <v>15000</v>
      </c>
      <c r="G7" s="13">
        <f>F7/D7</f>
        <v>0.32569470680962492</v>
      </c>
      <c r="H7" s="1"/>
    </row>
    <row r="8" spans="1:8" ht="14.4" x14ac:dyDescent="0.3">
      <c r="A8" s="1"/>
      <c r="B8" s="8" t="s">
        <v>10</v>
      </c>
      <c r="C8" s="9" t="s">
        <v>35</v>
      </c>
      <c r="D8" s="10">
        <v>29531.57</v>
      </c>
      <c r="E8" s="11">
        <v>0.13</v>
      </c>
      <c r="F8" s="12">
        <f t="shared" ref="F8:F15" si="0">100000*E8</f>
        <v>13000</v>
      </c>
      <c r="G8" s="13">
        <f t="shared" ref="G8:G15" si="1">F8/D8</f>
        <v>0.44020687013931192</v>
      </c>
      <c r="H8" s="1"/>
    </row>
    <row r="9" spans="1:8" ht="14.4" x14ac:dyDescent="0.3">
      <c r="A9" s="1"/>
      <c r="B9" s="8" t="s">
        <v>10</v>
      </c>
      <c r="C9" s="9" t="s">
        <v>36</v>
      </c>
      <c r="D9" s="10">
        <v>20397.48</v>
      </c>
      <c r="E9" s="11">
        <v>0.12</v>
      </c>
      <c r="F9" s="12">
        <f t="shared" si="0"/>
        <v>12000</v>
      </c>
      <c r="G9" s="13">
        <f t="shared" si="1"/>
        <v>0.58830796745480329</v>
      </c>
      <c r="H9" s="1"/>
    </row>
    <row r="10" spans="1:8" ht="14.4" x14ac:dyDescent="0.3">
      <c r="A10" s="1"/>
      <c r="B10" s="8" t="s">
        <v>21</v>
      </c>
      <c r="C10" s="9" t="s">
        <v>26</v>
      </c>
      <c r="D10" s="10">
        <v>268.81</v>
      </c>
      <c r="E10" s="11">
        <v>0.15</v>
      </c>
      <c r="F10" s="12">
        <f t="shared" si="0"/>
        <v>15000</v>
      </c>
      <c r="G10" s="13">
        <f t="shared" si="1"/>
        <v>55.801495480078863</v>
      </c>
      <c r="H10" s="1"/>
    </row>
    <row r="11" spans="1:8" ht="14.4" x14ac:dyDescent="0.3">
      <c r="A11" s="1"/>
      <c r="B11" s="8" t="s">
        <v>21</v>
      </c>
      <c r="C11" s="9" t="s">
        <v>27</v>
      </c>
      <c r="D11" s="10">
        <v>332.8</v>
      </c>
      <c r="E11" s="11">
        <v>0.12</v>
      </c>
      <c r="F11" s="12">
        <f t="shared" si="0"/>
        <v>12000</v>
      </c>
      <c r="G11" s="13">
        <f t="shared" si="1"/>
        <v>36.057692307692307</v>
      </c>
      <c r="H11" s="1"/>
    </row>
    <row r="12" spans="1:8" ht="14.4" x14ac:dyDescent="0.3">
      <c r="A12" s="1"/>
      <c r="B12" s="8" t="s">
        <v>21</v>
      </c>
      <c r="C12" s="9" t="s">
        <v>28</v>
      </c>
      <c r="D12" s="10">
        <v>125.84</v>
      </c>
      <c r="E12" s="11">
        <v>0.08</v>
      </c>
      <c r="F12" s="12">
        <f t="shared" si="0"/>
        <v>8000</v>
      </c>
      <c r="G12" s="13">
        <f t="shared" si="1"/>
        <v>63.572790845518114</v>
      </c>
      <c r="H12" s="1"/>
    </row>
    <row r="13" spans="1:8" ht="14.4" x14ac:dyDescent="0.3">
      <c r="A13" s="1"/>
      <c r="B13" s="8" t="s">
        <v>23</v>
      </c>
      <c r="C13" s="9" t="s">
        <v>29</v>
      </c>
      <c r="D13" s="14">
        <f>79700*$F$3</f>
        <v>7053450</v>
      </c>
      <c r="E13" s="11">
        <v>0.1125</v>
      </c>
      <c r="F13" s="12">
        <f t="shared" si="0"/>
        <v>11250</v>
      </c>
      <c r="G13" s="13">
        <f t="shared" si="1"/>
        <v>1.5949641664717265E-3</v>
      </c>
      <c r="H13" s="1"/>
    </row>
    <row r="14" spans="1:8" ht="14.4" x14ac:dyDescent="0.3">
      <c r="A14" s="1"/>
      <c r="B14" s="8" t="s">
        <v>23</v>
      </c>
      <c r="C14" s="9" t="s">
        <v>30</v>
      </c>
      <c r="D14" s="14">
        <f>2500*$F$3</f>
        <v>221250</v>
      </c>
      <c r="E14" s="11">
        <v>7.4999999999999997E-2</v>
      </c>
      <c r="F14" s="12">
        <f t="shared" si="0"/>
        <v>7500</v>
      </c>
      <c r="G14" s="13">
        <f t="shared" si="1"/>
        <v>3.3898305084745763E-2</v>
      </c>
      <c r="H14" s="1"/>
    </row>
    <row r="15" spans="1:8" ht="14.4" x14ac:dyDescent="0.3">
      <c r="A15" s="1"/>
      <c r="B15" s="8" t="s">
        <v>23</v>
      </c>
      <c r="C15" s="9" t="s">
        <v>31</v>
      </c>
      <c r="D15" s="14">
        <f>104*$F$3</f>
        <v>9204</v>
      </c>
      <c r="E15" s="11">
        <v>6.25E-2</v>
      </c>
      <c r="F15" s="12">
        <f t="shared" si="0"/>
        <v>6250</v>
      </c>
      <c r="G15" s="13">
        <f t="shared" si="1"/>
        <v>0.67905258583224681</v>
      </c>
      <c r="H15" s="1"/>
    </row>
    <row r="16" spans="1:8" ht="15.6" x14ac:dyDescent="0.3">
      <c r="A16" s="1"/>
      <c r="B16" s="15" t="s">
        <v>25</v>
      </c>
      <c r="C16" s="16"/>
      <c r="D16" s="16"/>
      <c r="E16" s="17">
        <f t="shared" ref="E16:F16" si="2">SUM(E7:E15)</f>
        <v>1</v>
      </c>
      <c r="F16" s="18">
        <f t="shared" si="2"/>
        <v>100000</v>
      </c>
      <c r="G16" s="16"/>
      <c r="H16" s="1"/>
    </row>
    <row r="17" spans="1:8" ht="15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15" customHeight="1" x14ac:dyDescent="0.3">
      <c r="A18" s="1"/>
      <c r="B18" s="27" t="s">
        <v>32</v>
      </c>
      <c r="C18" s="28"/>
      <c r="D18" s="28"/>
      <c r="E18" s="28"/>
      <c r="F18" s="28"/>
      <c r="G18" s="28"/>
      <c r="H18" s="1"/>
    </row>
    <row r="19" spans="1:8" ht="15" customHeight="1" x14ac:dyDescent="0.3">
      <c r="A19" s="1"/>
      <c r="B19" s="28"/>
      <c r="C19" s="28"/>
      <c r="D19" s="28"/>
      <c r="E19" s="28"/>
      <c r="F19" s="28"/>
      <c r="G19" s="28"/>
      <c r="H19" s="1"/>
    </row>
    <row r="20" spans="1:8" ht="15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15.75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8:G19"/>
  </mergeCells>
  <pageMargins left="0.3" right="0.3" top="1" bottom="1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00"/>
  <sheetViews>
    <sheetView showGridLines="0" zoomScale="75" zoomScaleNormal="75" workbookViewId="0">
      <selection activeCell="E12" sqref="E12"/>
    </sheetView>
  </sheetViews>
  <sheetFormatPr defaultColWidth="14.44140625" defaultRowHeight="15" customHeight="1" x14ac:dyDescent="0.3"/>
  <cols>
    <col min="1" max="1" width="3" customWidth="1"/>
    <col min="2" max="2" width="14" customWidth="1"/>
    <col min="3" max="4" width="16" customWidth="1"/>
    <col min="5" max="5" width="55" customWidth="1"/>
    <col min="6" max="26" width="8.6640625" customWidth="1"/>
  </cols>
  <sheetData>
    <row r="1" spans="1:5" ht="15" customHeight="1" x14ac:dyDescent="0.3">
      <c r="A1" s="1"/>
      <c r="B1" s="1"/>
      <c r="C1" s="1"/>
      <c r="D1" s="1"/>
      <c r="E1" s="1"/>
    </row>
    <row r="2" spans="1:5" ht="20.399999999999999" x14ac:dyDescent="0.35">
      <c r="A2" s="1"/>
      <c r="B2" s="19" t="s">
        <v>0</v>
      </c>
      <c r="C2" s="1"/>
      <c r="D2" s="1"/>
      <c r="E2" s="1"/>
    </row>
    <row r="3" spans="1:5" ht="15" customHeight="1" x14ac:dyDescent="0.3">
      <c r="A3" s="1"/>
      <c r="B3" s="1"/>
      <c r="C3" s="1"/>
      <c r="D3" s="1"/>
      <c r="E3" s="1"/>
    </row>
    <row r="4" spans="1:5" ht="14.4" x14ac:dyDescent="0.3">
      <c r="A4" s="1"/>
      <c r="B4" s="20" t="s">
        <v>2</v>
      </c>
      <c r="C4" s="20" t="s">
        <v>5</v>
      </c>
      <c r="D4" s="20" t="s">
        <v>6</v>
      </c>
      <c r="E4" s="20" t="s">
        <v>7</v>
      </c>
    </row>
    <row r="5" spans="1:5" ht="48" customHeight="1" x14ac:dyDescent="0.3">
      <c r="A5" s="1"/>
      <c r="B5" s="21" t="s">
        <v>10</v>
      </c>
      <c r="C5" s="22">
        <f>'Portfolio Allocation'!E7+'Portfolio Allocation'!E8+'Portfolio Allocation'!E9</f>
        <v>0.4</v>
      </c>
      <c r="D5" s="23">
        <f>'Portfolio Allocation'!F7+'Portfolio Allocation'!F8+'Portfolio Allocation'!F9</f>
        <v>40000</v>
      </c>
      <c r="E5" s="24" t="s">
        <v>20</v>
      </c>
    </row>
    <row r="6" spans="1:5" ht="48" customHeight="1" x14ac:dyDescent="0.3">
      <c r="A6" s="1"/>
      <c r="B6" s="21" t="s">
        <v>21</v>
      </c>
      <c r="C6" s="22">
        <f>'Portfolio Allocation'!E10+'Portfolio Allocation'!E11+'Portfolio Allocation'!E12</f>
        <v>0.35000000000000003</v>
      </c>
      <c r="D6" s="23">
        <f>'Portfolio Allocation'!F10+'Portfolio Allocation'!F11+'Portfolio Allocation'!F12</f>
        <v>35000</v>
      </c>
      <c r="E6" s="24" t="s">
        <v>22</v>
      </c>
    </row>
    <row r="7" spans="1:5" ht="48" customHeight="1" x14ac:dyDescent="0.3">
      <c r="A7" s="1"/>
      <c r="B7" s="21" t="s">
        <v>23</v>
      </c>
      <c r="C7" s="22">
        <f>'Portfolio Allocation'!E13+'Portfolio Allocation'!E14+'Portfolio Allocation'!E15</f>
        <v>0.25</v>
      </c>
      <c r="D7" s="23">
        <f>'Portfolio Allocation'!F13+'Portfolio Allocation'!F14+'Portfolio Allocation'!F15</f>
        <v>25000</v>
      </c>
      <c r="E7" s="24" t="s">
        <v>24</v>
      </c>
    </row>
    <row r="8" spans="1:5" ht="15.6" x14ac:dyDescent="0.3">
      <c r="A8" s="1"/>
      <c r="B8" s="15" t="s">
        <v>25</v>
      </c>
      <c r="C8" s="25">
        <f t="shared" ref="C8:D8" si="0">C5+C6+C7</f>
        <v>1</v>
      </c>
      <c r="D8" s="18">
        <f t="shared" si="0"/>
        <v>100000</v>
      </c>
      <c r="E8" s="16"/>
    </row>
    <row r="9" spans="1:5" ht="15" customHeight="1" x14ac:dyDescent="0.3">
      <c r="A9" s="1"/>
      <c r="B9" s="1"/>
      <c r="C9" s="1"/>
      <c r="D9" s="1"/>
      <c r="E9" s="1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3" right="0.3" top="1" bottom="1" header="0" footer="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998"/>
  <sheetViews>
    <sheetView showGridLines="0" tabSelected="1" zoomScale="75" zoomScaleNormal="75" workbookViewId="0">
      <selection activeCell="I17" sqref="I17"/>
    </sheetView>
  </sheetViews>
  <sheetFormatPr defaultColWidth="14.44140625" defaultRowHeight="15" customHeight="1" x14ac:dyDescent="0.3"/>
  <cols>
    <col min="1" max="1" width="8.6640625" customWidth="1"/>
    <col min="2" max="2" width="3" customWidth="1"/>
    <col min="3" max="7" width="15" customWidth="1"/>
    <col min="8" max="26" width="8.6640625" customWidth="1"/>
  </cols>
  <sheetData>
    <row r="1" spans="1:7" ht="15" customHeight="1" x14ac:dyDescent="0.3">
      <c r="A1" s="1"/>
      <c r="B1" s="1"/>
      <c r="C1" s="1"/>
      <c r="D1" s="1"/>
      <c r="E1" s="1"/>
      <c r="F1" s="1"/>
      <c r="G1" s="1"/>
    </row>
    <row r="2" spans="1:7" ht="20.399999999999999" x14ac:dyDescent="0.35">
      <c r="A2" s="1"/>
      <c r="B2" s="19" t="s">
        <v>4</v>
      </c>
      <c r="C2" s="1"/>
      <c r="D2" s="1"/>
      <c r="E2" s="1"/>
      <c r="F2" s="1"/>
      <c r="G2" s="1"/>
    </row>
    <row r="3" spans="1:7" ht="15" customHeight="1" x14ac:dyDescent="0.3">
      <c r="A3" s="1"/>
      <c r="B3" s="1"/>
      <c r="C3" s="1"/>
      <c r="D3" s="1"/>
      <c r="E3" s="1"/>
      <c r="F3" s="1"/>
      <c r="G3" s="1"/>
    </row>
    <row r="4" spans="1:7" ht="15.6" x14ac:dyDescent="0.3">
      <c r="A4" s="1"/>
      <c r="B4" s="26" t="s">
        <v>9</v>
      </c>
      <c r="C4" s="1"/>
      <c r="D4" s="1"/>
      <c r="E4" s="1"/>
      <c r="F4" s="1"/>
      <c r="G4" s="1"/>
    </row>
    <row r="5" spans="1:7" ht="54.75" customHeight="1" x14ac:dyDescent="0.3">
      <c r="A5" s="1"/>
      <c r="B5" s="29" t="s">
        <v>39</v>
      </c>
      <c r="C5" s="28"/>
      <c r="D5" s="28"/>
      <c r="E5" s="28"/>
      <c r="F5" s="28"/>
      <c r="G5" s="28"/>
    </row>
    <row r="6" spans="1:7" ht="15" customHeight="1" x14ac:dyDescent="0.3">
      <c r="A6" s="1"/>
      <c r="B6" s="1"/>
      <c r="C6" s="1"/>
      <c r="D6" s="1"/>
      <c r="E6" s="1"/>
      <c r="F6" s="1"/>
      <c r="G6" s="1"/>
    </row>
    <row r="7" spans="1:7" ht="15.6" x14ac:dyDescent="0.3">
      <c r="A7" s="1"/>
      <c r="B7" s="26" t="s">
        <v>11</v>
      </c>
      <c r="C7" s="1"/>
      <c r="D7" s="1"/>
      <c r="E7" s="1"/>
      <c r="F7" s="1"/>
      <c r="G7" s="1"/>
    </row>
    <row r="8" spans="1:7" ht="54.75" customHeight="1" x14ac:dyDescent="0.3">
      <c r="A8" s="1"/>
      <c r="B8" s="29" t="s">
        <v>37</v>
      </c>
      <c r="C8" s="28"/>
      <c r="D8" s="28"/>
      <c r="E8" s="28"/>
      <c r="F8" s="28"/>
      <c r="G8" s="28"/>
    </row>
    <row r="9" spans="1:7" ht="15" customHeight="1" x14ac:dyDescent="0.3">
      <c r="A9" s="1"/>
      <c r="B9" s="1"/>
      <c r="C9" s="1"/>
      <c r="D9" s="1"/>
      <c r="E9" s="1"/>
      <c r="F9" s="1"/>
      <c r="G9" s="1"/>
    </row>
    <row r="10" spans="1:7" ht="15.6" x14ac:dyDescent="0.3">
      <c r="A10" s="1"/>
      <c r="B10" s="26" t="s">
        <v>12</v>
      </c>
      <c r="C10" s="1"/>
      <c r="D10" s="1"/>
      <c r="E10" s="1"/>
      <c r="F10" s="1"/>
      <c r="G10" s="1"/>
    </row>
    <row r="11" spans="1:7" ht="42" customHeight="1" x14ac:dyDescent="0.3">
      <c r="A11" s="1"/>
      <c r="B11" s="29" t="s">
        <v>13</v>
      </c>
      <c r="C11" s="28"/>
      <c r="D11" s="28"/>
      <c r="E11" s="28"/>
      <c r="F11" s="28"/>
      <c r="G11" s="28"/>
    </row>
    <row r="12" spans="1:7" ht="15" customHeight="1" x14ac:dyDescent="0.3">
      <c r="A12" s="1"/>
      <c r="B12" s="1"/>
      <c r="C12" s="1"/>
      <c r="D12" s="1"/>
      <c r="E12" s="1"/>
      <c r="F12" s="1"/>
      <c r="G12" s="1"/>
    </row>
    <row r="13" spans="1:7" ht="15.6" x14ac:dyDescent="0.3">
      <c r="A13" s="1"/>
      <c r="B13" s="26" t="s">
        <v>15</v>
      </c>
      <c r="C13" s="1"/>
      <c r="D13" s="1"/>
      <c r="E13" s="1"/>
      <c r="F13" s="1"/>
      <c r="G13" s="1"/>
    </row>
    <row r="14" spans="1:7" ht="45.6" customHeight="1" x14ac:dyDescent="0.3">
      <c r="A14" s="1"/>
      <c r="B14" s="29" t="s">
        <v>38</v>
      </c>
      <c r="C14" s="28"/>
      <c r="D14" s="28"/>
      <c r="E14" s="28"/>
      <c r="F14" s="28"/>
      <c r="G14" s="28"/>
    </row>
    <row r="15" spans="1:7" ht="15" customHeight="1" x14ac:dyDescent="0.3">
      <c r="A15" s="1"/>
      <c r="B15" s="1"/>
      <c r="C15" s="1"/>
      <c r="D15" s="1"/>
      <c r="E15" s="1"/>
      <c r="F15" s="1"/>
      <c r="G15" s="1"/>
    </row>
    <row r="16" spans="1:7" ht="15.6" x14ac:dyDescent="0.3">
      <c r="A16" s="1"/>
      <c r="B16" s="26" t="s">
        <v>17</v>
      </c>
      <c r="C16" s="1"/>
      <c r="D16" s="1"/>
      <c r="E16" s="1"/>
      <c r="F16" s="1"/>
      <c r="G16" s="1"/>
    </row>
    <row r="17" spans="1:7" ht="54.75" customHeight="1" x14ac:dyDescent="0.3">
      <c r="A17" s="1"/>
      <c r="B17" s="29" t="s">
        <v>40</v>
      </c>
      <c r="C17" s="28"/>
      <c r="D17" s="28"/>
      <c r="E17" s="28"/>
      <c r="F17" s="28"/>
      <c r="G17" s="28"/>
    </row>
    <row r="18" spans="1:7" ht="15" customHeight="1" x14ac:dyDescent="0.3">
      <c r="A18" s="1"/>
      <c r="B18" s="27" t="s">
        <v>19</v>
      </c>
      <c r="C18" s="28"/>
      <c r="D18" s="28"/>
      <c r="E18" s="28"/>
      <c r="F18" s="28"/>
      <c r="G18" s="28"/>
    </row>
    <row r="19" spans="1:7" ht="15.75" customHeight="1" x14ac:dyDescent="0.3">
      <c r="A19" s="1"/>
      <c r="B19" s="28"/>
      <c r="C19" s="28"/>
      <c r="D19" s="28"/>
      <c r="E19" s="28"/>
      <c r="F19" s="28"/>
      <c r="G19" s="28"/>
    </row>
    <row r="20" spans="1:7" ht="15.75" customHeight="1" x14ac:dyDescent="0.3">
      <c r="A20" s="1"/>
      <c r="B20" s="28"/>
      <c r="C20" s="28"/>
      <c r="D20" s="28"/>
      <c r="E20" s="28"/>
      <c r="F20" s="28"/>
      <c r="G20" s="28"/>
    </row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6">
    <mergeCell ref="B18:G20"/>
    <mergeCell ref="B5:G5"/>
    <mergeCell ref="B8:G8"/>
    <mergeCell ref="B11:G11"/>
    <mergeCell ref="B14:G14"/>
    <mergeCell ref="B17:G17"/>
  </mergeCells>
  <pageMargins left="0.3" right="0.3" top="1" bottom="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 Allocation</vt:lpstr>
      <vt:lpstr>Category Summary</vt:lpstr>
      <vt:lpstr>Rationale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Nisa Aulia Rohmah</cp:lastModifiedBy>
  <dcterms:modified xsi:type="dcterms:W3CDTF">2026-10-14T06:23:37Z</dcterms:modified>
</cp:coreProperties>
</file>